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8010" tabRatio="229"/>
  </bookViews>
  <sheets>
    <sheet name="Tarefas" sheetId="7" r:id="rId1"/>
    <sheet name="Dominio" sheetId="8" r:id="rId2"/>
  </sheets>
  <calcPr calcId="152511"/>
</workbook>
</file>

<file path=xl/calcChain.xml><?xml version="1.0" encoding="utf-8"?>
<calcChain xmlns="http://schemas.openxmlformats.org/spreadsheetml/2006/main">
  <c r="C5" i="7" l="1"/>
  <c r="C4" i="7"/>
  <c r="C3" i="7" l="1"/>
  <c r="A1" i="7" l="1"/>
</calcChain>
</file>

<file path=xl/sharedStrings.xml><?xml version="1.0" encoding="utf-8"?>
<sst xmlns="http://schemas.openxmlformats.org/spreadsheetml/2006/main" count="51" uniqueCount="37">
  <si>
    <t>Previsto</t>
  </si>
  <si>
    <t>Andamento</t>
  </si>
  <si>
    <t>Concluído</t>
  </si>
  <si>
    <t>Cancelado</t>
  </si>
  <si>
    <t>Descrição</t>
  </si>
  <si>
    <t>Situação</t>
  </si>
  <si>
    <t>Ordem</t>
  </si>
  <si>
    <t>Fazer</t>
  </si>
  <si>
    <t>Kanban</t>
  </si>
  <si>
    <t>Código</t>
  </si>
  <si>
    <t>Prioridade</t>
  </si>
  <si>
    <t>Limite</t>
  </si>
  <si>
    <t>Comentario</t>
  </si>
  <si>
    <t>Id</t>
  </si>
  <si>
    <t>Aspecto</t>
  </si>
  <si>
    <t>Finanças</t>
  </si>
  <si>
    <t>Bens (C/V)</t>
  </si>
  <si>
    <t>Empresa</t>
  </si>
  <si>
    <t>Empréstimos</t>
  </si>
  <si>
    <t>Música</t>
  </si>
  <si>
    <t>TI</t>
  </si>
  <si>
    <t>Saúde</t>
  </si>
  <si>
    <t>Segmento</t>
  </si>
  <si>
    <t>Trabalho</t>
  </si>
  <si>
    <t>Pessoal</t>
  </si>
  <si>
    <t>Data</t>
  </si>
  <si>
    <t>Categoria 3</t>
  </si>
  <si>
    <t>Categoria 1 /
Sistema</t>
  </si>
  <si>
    <t>Categoria 2 /
Projeto</t>
  </si>
  <si>
    <t>Prio</t>
  </si>
  <si>
    <t>Kafka</t>
  </si>
  <si>
    <t>Entendimento</t>
  </si>
  <si>
    <t>Terminar de assistir video</t>
  </si>
  <si>
    <t>Documentar aprendizado e exemplos</t>
  </si>
  <si>
    <t>Documentas</t>
  </si>
  <si>
    <t>Exemplo</t>
  </si>
  <si>
    <t>Executar exemplo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</si>
</sst>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2" fillId="2" borderId="5" xfId="0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 vertical="center" wrapText="1"/>
    </xf>
    <xf numFmtId="14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4" borderId="2" xfId="0" applyFont="1" applyFill="1" applyBorder="1" applyAlignment="1">
      <alignment horizontal="left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Medium9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a1" displayName="Tabela1" ref="A2:L5" totalsRowShown="0" headerRowDxfId="29" dataDxfId="27" headerRowBorderDxfId="28">
  <autoFilter ref="A2:L5"/>
  <tableColumns count="12">
    <tableColumn id="1" name="Id" dataDxfId="26"/>
    <tableColumn id="3" name="Situação" dataDxfId="25"/>
    <tableColumn id="2" name="Ordem" dataDxfId="24">
      <calculatedColumnFormula>VLOOKUP(B3,Dominio!A:C,VLOOKUP($C$1,Dominio!F:G, 2,FALSE),FALSE)</calculatedColumnFormula>
    </tableColumn>
    <tableColumn id="10" name="Prio" dataDxfId="23"/>
    <tableColumn id="12" name="Data" dataDxfId="22"/>
    <tableColumn id="11" name="Segmento" dataDxfId="21"/>
    <tableColumn id="4" name="Categoria 1 /_x000a_Sistema" dataDxfId="20"/>
    <tableColumn id="5" name="Categoria 2 /_x000a_Projeto" dataDxfId="19"/>
    <tableColumn id="7" name="Categoria 3" dataDxfId="18"/>
    <tableColumn id="6" name="Descrição" dataDxfId="17"/>
    <tableColumn id="8" name="Limite" dataDxfId="16"/>
    <tableColumn id="9" name="Comentario" dataDxfId="1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L5"/>
  <sheetViews>
    <sheetView tabSelected="1" zoomScale="85" zoomScaleNormal="85" workbookViewId="0">
      <pane ySplit="2" topLeftCell="A3" activePane="bottomLeft" state="frozen"/>
      <selection pane="bottomLeft" activeCell="J6" sqref="J6"/>
    </sheetView>
  </sheetViews>
  <sheetFormatPr defaultRowHeight="15" customHeight="1" x14ac:dyDescent="0.25"/>
  <cols>
    <col min="1" max="1" width="9.140625" style="3" customWidth="1"/>
    <col min="2" max="2" width="13" bestFit="1" customWidth="1"/>
    <col min="3" max="3" width="12.28515625" style="3" customWidth="1"/>
    <col min="4" max="4" width="9.7109375" bestFit="1" customWidth="1"/>
    <col min="5" max="5" width="12.5703125" customWidth="1"/>
    <col min="6" max="6" width="14.5703125" bestFit="1" customWidth="1"/>
    <col min="7" max="7" width="15.28515625" style="3" customWidth="1"/>
    <col min="8" max="8" width="17.28515625" style="3" bestFit="1" customWidth="1"/>
    <col min="9" max="9" width="13.42578125" style="2" customWidth="1"/>
    <col min="10" max="10" width="106.7109375" style="2" customWidth="1"/>
    <col min="12" max="12" width="53.5703125" style="2" bestFit="1" customWidth="1"/>
  </cols>
  <sheetData>
    <row r="1" spans="1:12" ht="15" customHeight="1" thickBot="1" x14ac:dyDescent="0.3">
      <c r="A1" s="4">
        <f>MAX(A2:A999806)</f>
        <v>3</v>
      </c>
      <c r="B1" s="12"/>
      <c r="C1" s="8" t="s">
        <v>10</v>
      </c>
      <c r="G1" s="12"/>
      <c r="H1" s="13"/>
      <c r="I1" s="34"/>
      <c r="J1" s="14"/>
      <c r="K1" s="2"/>
      <c r="L1" s="19"/>
    </row>
    <row r="2" spans="1:12" s="33" customFormat="1" ht="33" customHeight="1" x14ac:dyDescent="0.25">
      <c r="A2" s="17" t="s">
        <v>13</v>
      </c>
      <c r="B2" s="17" t="s">
        <v>5</v>
      </c>
      <c r="C2" s="17" t="s">
        <v>6</v>
      </c>
      <c r="D2" s="22" t="s">
        <v>29</v>
      </c>
      <c r="E2" s="22" t="s">
        <v>25</v>
      </c>
      <c r="F2" s="22" t="s">
        <v>22</v>
      </c>
      <c r="G2" s="32" t="s">
        <v>27</v>
      </c>
      <c r="H2" s="32" t="s">
        <v>28</v>
      </c>
      <c r="I2" s="17" t="s">
        <v>26</v>
      </c>
      <c r="J2" s="17" t="s">
        <v>4</v>
      </c>
      <c r="K2" s="18" t="s">
        <v>11</v>
      </c>
      <c r="L2" s="20" t="s">
        <v>12</v>
      </c>
    </row>
    <row r="3" spans="1:12" ht="15" customHeight="1" x14ac:dyDescent="0.25">
      <c r="A3" s="5">
        <v>1</v>
      </c>
      <c r="B3" s="25" t="s">
        <v>7</v>
      </c>
      <c r="C3" s="7">
        <f>VLOOKUP(B3,Dominio!A:C,VLOOKUP($C$1,Dominio!F:G, 2,FALSE),FALSE)</f>
        <v>2</v>
      </c>
      <c r="D3" s="16">
        <v>0</v>
      </c>
      <c r="E3" s="31">
        <v>44820</v>
      </c>
      <c r="F3" s="16" t="s">
        <v>24</v>
      </c>
      <c r="G3" s="5" t="s">
        <v>30</v>
      </c>
      <c r="H3" s="6" t="s">
        <v>31</v>
      </c>
      <c r="I3" s="15"/>
      <c r="J3" s="15" t="s">
        <v>32</v>
      </c>
      <c r="K3" s="5"/>
      <c r="L3" s="21"/>
    </row>
    <row r="4" spans="1:12" ht="15" customHeight="1" x14ac:dyDescent="0.25">
      <c r="A4" s="25">
        <v>2</v>
      </c>
      <c r="B4" s="25" t="s">
        <v>7</v>
      </c>
      <c r="C4" s="26">
        <f>VLOOKUP(B4,Dominio!A:C,VLOOKUP($C$1,Dominio!F:G, 2,FALSE),FALSE)</f>
        <v>2</v>
      </c>
      <c r="D4" s="27">
        <v>0</v>
      </c>
      <c r="E4" s="27">
        <v>44820</v>
      </c>
      <c r="F4" s="27" t="s">
        <v>24</v>
      </c>
      <c r="G4" s="25" t="s">
        <v>30</v>
      </c>
      <c r="H4" s="28" t="s">
        <v>34</v>
      </c>
      <c r="I4" s="29"/>
      <c r="J4" s="29" t="s">
        <v>33</v>
      </c>
      <c r="K4" s="25"/>
      <c r="L4" s="30"/>
    </row>
    <row r="5" spans="1:12" ht="15" customHeight="1" x14ac:dyDescent="0.25">
      <c r="A5" s="25">
        <v>3</v>
      </c>
      <c r="B5" s="25" t="s">
        <v>7</v>
      </c>
      <c r="C5" s="26">
        <f>VLOOKUP(B5,Dominio!A:C,VLOOKUP($C$1,Dominio!F:G, 2,FALSE),FALSE)</f>
        <v>2</v>
      </c>
      <c r="D5" s="27">
        <v>0</v>
      </c>
      <c r="E5" s="27">
        <v>44820</v>
      </c>
      <c r="F5" s="27" t="s">
        <v>24</v>
      </c>
      <c r="G5" s="25" t="s">
        <v>30</v>
      </c>
      <c r="H5" s="28" t="s">
        <v>35</v>
      </c>
      <c r="I5" s="29"/>
      <c r="J5" s="29" t="s">
        <v>36</v>
      </c>
      <c r="K5" s="25"/>
      <c r="L5" s="30"/>
    </row>
  </sheetData>
  <sortState ref="A2:F3">
    <sortCondition ref="A2:A3"/>
  </sortState>
  <conditionalFormatting sqref="A3:L5">
    <cfRule type="expression" dxfId="14" priority="76">
      <formula>$B3="Cancelado"</formula>
    </cfRule>
    <cfRule type="expression" dxfId="13" priority="77">
      <formula>$B3="Concluído"</formula>
    </cfRule>
    <cfRule type="expression" dxfId="12" priority="78">
      <formula>$B3="Andamento"</formula>
    </cfRule>
    <cfRule type="expression" dxfId="11" priority="79">
      <formula>$B3="Previsto"</formula>
    </cfRule>
    <cfRule type="expression" dxfId="10" priority="80">
      <formula>$B3="Fazer"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Dominio!$F$2:$F$3</xm:f>
          </x14:formula1>
          <xm:sqref>C1</xm:sqref>
        </x14:dataValidation>
        <x14:dataValidation type="list" allowBlank="1" showInputMessage="1" showErrorMessage="1">
          <x14:formula1>
            <xm:f>Dominio!$A$2:$A$6</xm:f>
          </x14:formula1>
          <xm:sqref>B3:B5</xm:sqref>
        </x14:dataValidation>
        <x14:dataValidation type="list" allowBlank="1" showInputMessage="1" showErrorMessage="1">
          <x14:formula1>
            <xm:f>Dominio!$I$2:$I$3</xm:f>
          </x14:formula1>
          <xm:sqref>G1</xm:sqref>
        </x14:dataValidation>
        <x14:dataValidation type="list" allowBlank="1" showInputMessage="1" showErrorMessage="1">
          <x14:formula1>
            <xm:f>Dominio!$K$2:$K$3</xm:f>
          </x14:formula1>
          <xm:sqref>F3:F5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K28"/>
  <sheetViews>
    <sheetView workbookViewId="0">
      <selection activeCell="C2" sqref="C2"/>
    </sheetView>
  </sheetViews>
  <sheetFormatPr defaultRowHeight="15" x14ac:dyDescent="0.25"/>
  <cols>
    <col min="1" max="1" width="14.140625" bestFit="1" customWidth="1"/>
    <col min="3" max="3" width="14.28515625" bestFit="1" customWidth="1"/>
    <col min="4" max="5" width="13.42578125" customWidth="1"/>
    <col min="6" max="6" width="13.42578125" style="3" customWidth="1"/>
    <col min="7" max="8" width="13.42578125" customWidth="1"/>
    <col min="9" max="9" width="23.5703125" customWidth="1"/>
    <col min="11" max="11" width="17.85546875" customWidth="1"/>
  </cols>
  <sheetData>
    <row r="1" spans="1:11" x14ac:dyDescent="0.25">
      <c r="A1" s="23" t="s">
        <v>5</v>
      </c>
      <c r="B1" s="24" t="s">
        <v>6</v>
      </c>
      <c r="C1" s="24" t="s">
        <v>8</v>
      </c>
      <c r="F1" s="23" t="s">
        <v>6</v>
      </c>
      <c r="G1" s="24" t="s">
        <v>9</v>
      </c>
      <c r="I1" s="24" t="s">
        <v>14</v>
      </c>
      <c r="K1" s="24" t="s">
        <v>22</v>
      </c>
    </row>
    <row r="2" spans="1:11" x14ac:dyDescent="0.25">
      <c r="A2" s="11" t="s">
        <v>0</v>
      </c>
      <c r="B2" s="11">
        <v>3</v>
      </c>
      <c r="C2" s="11">
        <v>1</v>
      </c>
      <c r="F2" s="9" t="s">
        <v>10</v>
      </c>
      <c r="G2" s="11">
        <v>2</v>
      </c>
      <c r="I2" s="10" t="s">
        <v>15</v>
      </c>
      <c r="K2" s="10" t="s">
        <v>24</v>
      </c>
    </row>
    <row r="3" spans="1:11" x14ac:dyDescent="0.25">
      <c r="A3" s="11" t="s">
        <v>7</v>
      </c>
      <c r="B3" s="11">
        <v>2</v>
      </c>
      <c r="C3" s="11">
        <v>2</v>
      </c>
      <c r="F3" s="9" t="s">
        <v>8</v>
      </c>
      <c r="G3" s="11">
        <v>3</v>
      </c>
      <c r="I3" s="10" t="s">
        <v>16</v>
      </c>
      <c r="K3" s="10" t="s">
        <v>23</v>
      </c>
    </row>
    <row r="4" spans="1:11" x14ac:dyDescent="0.25">
      <c r="A4" s="11" t="s">
        <v>1</v>
      </c>
      <c r="B4" s="11">
        <v>1</v>
      </c>
      <c r="C4" s="11">
        <v>3</v>
      </c>
      <c r="I4" s="10" t="s">
        <v>17</v>
      </c>
    </row>
    <row r="5" spans="1:11" x14ac:dyDescent="0.25">
      <c r="A5" s="11" t="s">
        <v>2</v>
      </c>
      <c r="B5" s="11">
        <v>4</v>
      </c>
      <c r="C5" s="11">
        <v>4</v>
      </c>
      <c r="I5" s="10" t="s">
        <v>18</v>
      </c>
    </row>
    <row r="6" spans="1:11" x14ac:dyDescent="0.25">
      <c r="A6" s="11" t="s">
        <v>3</v>
      </c>
      <c r="B6" s="11">
        <v>5</v>
      </c>
      <c r="C6" s="11">
        <v>5</v>
      </c>
      <c r="I6" s="10" t="s">
        <v>19</v>
      </c>
    </row>
    <row r="7" spans="1:11" x14ac:dyDescent="0.25">
      <c r="I7" s="10" t="s">
        <v>20</v>
      </c>
    </row>
    <row r="8" spans="1:11" x14ac:dyDescent="0.25">
      <c r="I8" s="10" t="s">
        <v>21</v>
      </c>
    </row>
    <row r="9" spans="1:11" x14ac:dyDescent="0.25">
      <c r="I9" s="1"/>
    </row>
    <row r="10" spans="1:11" x14ac:dyDescent="0.25">
      <c r="I10" s="1"/>
    </row>
    <row r="11" spans="1:11" x14ac:dyDescent="0.25">
      <c r="I11" s="1"/>
    </row>
    <row r="12" spans="1:11" x14ac:dyDescent="0.25">
      <c r="I12" s="1"/>
    </row>
    <row r="13" spans="1:11" x14ac:dyDescent="0.25">
      <c r="I13" s="1"/>
    </row>
    <row r="14" spans="1:11" x14ac:dyDescent="0.25">
      <c r="I14" s="1"/>
    </row>
    <row r="15" spans="1:11" x14ac:dyDescent="0.25">
      <c r="I15" s="1"/>
    </row>
    <row r="16" spans="1:11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Tarefas</vt:lpstr>
      <vt:lpstr>Dominio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2022-10-07T14:10:08Z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aplicarFiltro_1" visible="true" label="ReaplicarFiltro" imageMso="RecurrenceEdit" onAction="ReaplicarFiltro"/>
      </mso:documentControls>
    </mso:qat>
  </mso:ribbon>
</mso:customUI>
</file>