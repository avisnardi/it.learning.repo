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filterPrivacy="1" codeName="EstaPasta_de_trabalho" defaultThemeVersion="124226"/>
  <xr:revisionPtr revIDLastSave="0" documentId="13_ncr:1_{810DBBC6-220F-4428-AC3B-7D409D168FFA}" xr6:coauthVersionLast="47" xr6:coauthVersionMax="47" xr10:uidLastSave="{00000000-0000-0000-0000-000000000000}"/>
  <bookViews>
    <workbookView xWindow="-120" yWindow="-120" windowWidth="29040" windowHeight="15720" tabRatio="229" xr2:uid="{00000000-000D-0000-FFFF-FFFF00000000}"/>
  </bookViews>
  <sheets>
    <sheet name="Tarefas" sheetId="7" r:id="rId1"/>
    <sheet name="Dominio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7" l="1"/>
  <c r="C4" i="7"/>
  <c r="C3" i="7"/>
  <c r="C6" i="7"/>
  <c r="C5" i="7"/>
  <c r="C10" i="7"/>
  <c r="C9" i="7"/>
  <c r="C8" i="7" l="1"/>
  <c r="A1" i="7" l="1"/>
</calcChain>
</file>

<file path=xl/sharedStrings.xml><?xml version="1.0" encoding="utf-8"?>
<sst xmlns="http://schemas.openxmlformats.org/spreadsheetml/2006/main" count="71" uniqueCount="49">
  <si>
    <t>Previsto</t>
  </si>
  <si>
    <t>Andamento</t>
  </si>
  <si>
    <t>Concluído</t>
  </si>
  <si>
    <t>Cancelado</t>
  </si>
  <si>
    <t>Descrição</t>
  </si>
  <si>
    <t>Situação</t>
  </si>
  <si>
    <t>Ordem</t>
  </si>
  <si>
    <t>Fazer</t>
  </si>
  <si>
    <t>Kanban</t>
  </si>
  <si>
    <t>Código</t>
  </si>
  <si>
    <t>Prioridade</t>
  </si>
  <si>
    <t>Limite</t>
  </si>
  <si>
    <t>Comentario</t>
  </si>
  <si>
    <t>Id</t>
  </si>
  <si>
    <t>Aspecto</t>
  </si>
  <si>
    <t>Finanças</t>
  </si>
  <si>
    <t>Bens (C/V)</t>
  </si>
  <si>
    <t>Empresa</t>
  </si>
  <si>
    <t>Empréstimos</t>
  </si>
  <si>
    <t>Música</t>
  </si>
  <si>
    <t>TI</t>
  </si>
  <si>
    <t>Saúde</t>
  </si>
  <si>
    <t>Segmento</t>
  </si>
  <si>
    <t>Trabalho</t>
  </si>
  <si>
    <t>Pessoal</t>
  </si>
  <si>
    <t>Data</t>
  </si>
  <si>
    <t>Categoria 3</t>
  </si>
  <si>
    <t>Categoria 1 /
Sistema</t>
  </si>
  <si>
    <t>Categoria 2 /
Projeto</t>
  </si>
  <si>
    <t>Prio</t>
  </si>
  <si>
    <t>Kafka</t>
  </si>
  <si>
    <t>Entendimento</t>
  </si>
  <si>
    <t>Terminar de assistir video</t>
  </si>
  <si>
    <t>Documentar aprendizado e exemplos</t>
  </si>
  <si>
    <t>Documentas</t>
  </si>
  <si>
    <t>Exemplo</t>
  </si>
  <si>
    <t>Executar exemplo</t>
  </si>
  <si>
    <t>Multitenancy ou Multitenant</t>
  </si>
  <si>
    <t>RabbitMQ</t>
  </si>
  <si>
    <t>https://www.youtube.com/watch?v=BwQMTRh1hCc</t>
  </si>
  <si>
    <t>Estudo</t>
  </si>
  <si>
    <t>Instalando o Kafka com Docker</t>
  </si>
  <si>
    <t>https://www.youtube.com/watch?v=7nMDJzao31c&amp;list=PL2-2pWkcawAyl6VBbljlIVapbyxjGEpWA&amp;index=5</t>
  </si>
  <si>
    <t>https://www.youtube.com/watch?v=9GWK9A79tEc</t>
  </si>
  <si>
    <t>Spring Boot</t>
  </si>
  <si>
    <t>Starters from Eclipse</t>
  </si>
  <si>
    <t>Lombok</t>
  </si>
  <si>
    <t>Log com anotação @Slf4j</t>
  </si>
  <si>
    <t>Usado no exemplo do listener com spring kafka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</si>
</sst>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5" borderId="2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2" fillId="2" borderId="5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5" borderId="3" xfId="0" applyFill="1" applyBorder="1" applyAlignment="1">
      <alignment horizontal="left" vertical="center" wrapText="1"/>
    </xf>
    <xf numFmtId="14" fontId="0" fillId="5" borderId="2" xfId="0" applyNumberForma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4" borderId="2" xfId="0" applyFont="1" applyFill="1" applyBorder="1" applyAlignment="1">
      <alignment horizontal="left"/>
    </xf>
    <xf numFmtId="0" fontId="3" fillId="5" borderId="3" xfId="1" applyFill="1" applyBorder="1" applyAlignment="1">
      <alignment horizontal="left" vertical="center" wrapText="1"/>
    </xf>
    <xf numFmtId="14" fontId="0" fillId="5" borderId="3" xfId="0" applyNumberForma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0" fontId="3" fillId="5" borderId="2" xfId="1" applyFill="1" applyBorder="1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20">
    <dxf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Medium9"/>
  <colors>
    <mruColors>
      <color rgb="FFFFFF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L10" totalsRowShown="0" headerRowDxfId="14" dataDxfId="12" headerRowBorderDxfId="13">
  <autoFilter ref="A2:L10" xr:uid="{00000000-0009-0000-0100-000001000000}"/>
  <sortState xmlns:xlrd2="http://schemas.microsoft.com/office/spreadsheetml/2017/richdata2" ref="A3:L10">
    <sortCondition descending="1" ref="C3:C10"/>
    <sortCondition descending="1" ref="D3:D10"/>
  </sortState>
  <tableColumns count="12">
    <tableColumn id="1" xr3:uid="{00000000-0010-0000-0000-000001000000}" name="Id" dataDxfId="11"/>
    <tableColumn id="3" xr3:uid="{00000000-0010-0000-0000-000003000000}" name="Situação" dataDxfId="10"/>
    <tableColumn id="2" xr3:uid="{00000000-0010-0000-0000-000002000000}" name="Ordem" dataDxfId="9">
      <calculatedColumnFormula>VLOOKUP(B3,Dominio!A:C,VLOOKUP($C$1,Dominio!F:G, 2,FALSE),FALSE)</calculatedColumnFormula>
    </tableColumn>
    <tableColumn id="10" xr3:uid="{00000000-0010-0000-0000-00000A000000}" name="Prio" dataDxfId="8"/>
    <tableColumn id="12" xr3:uid="{00000000-0010-0000-0000-00000C000000}" name="Data" dataDxfId="7"/>
    <tableColumn id="11" xr3:uid="{00000000-0010-0000-0000-00000B000000}" name="Segmento" dataDxfId="6"/>
    <tableColumn id="4" xr3:uid="{00000000-0010-0000-0000-000004000000}" name="Categoria 1 /_x000a_Sistema" dataDxfId="5"/>
    <tableColumn id="5" xr3:uid="{00000000-0010-0000-0000-000005000000}" name="Categoria 2 /_x000a_Projeto" dataDxfId="4"/>
    <tableColumn id="7" xr3:uid="{00000000-0010-0000-0000-000007000000}" name="Categoria 3" dataDxfId="3"/>
    <tableColumn id="6" xr3:uid="{00000000-0010-0000-0000-000006000000}" name="Descrição" dataDxfId="2"/>
    <tableColumn id="8" xr3:uid="{00000000-0010-0000-0000-000008000000}" name="Limite" dataDxfId="1"/>
    <tableColumn id="9" xr3:uid="{00000000-0010-0000-0000-000009000000}" name="Comentar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9GWK9A79tEc" TargetMode="External"/><Relationship Id="rId2" Type="http://schemas.openxmlformats.org/officeDocument/2006/relationships/hyperlink" Target="https://www.youtube.com/watch?v=7nMDJzao31c&amp;list=PL2-2pWkcawAyl6VBbljlIVapbyxjGEpWA&amp;index=5" TargetMode="External"/><Relationship Id="rId1" Type="http://schemas.openxmlformats.org/officeDocument/2006/relationships/hyperlink" Target="https://www.youtube.com/watch?v=BwQMTRh1hCc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L10"/>
  <sheetViews>
    <sheetView tabSelected="1" zoomScale="85" zoomScaleNormal="85" workbookViewId="0">
      <pane ySplit="2" topLeftCell="A3" activePane="bottomLeft" state="frozen"/>
      <selection pane="bottomLeft" activeCell="J10" sqref="J10"/>
    </sheetView>
  </sheetViews>
  <sheetFormatPr defaultRowHeight="15" customHeight="1" x14ac:dyDescent="0.25"/>
  <cols>
    <col min="1" max="1" width="9.140625" style="3" customWidth="1"/>
    <col min="2" max="2" width="13" bestFit="1" customWidth="1"/>
    <col min="3" max="3" width="12.28515625" style="3" customWidth="1"/>
    <col min="4" max="4" width="9.7109375" bestFit="1" customWidth="1"/>
    <col min="5" max="5" width="12.5703125" customWidth="1"/>
    <col min="6" max="6" width="14.5703125" bestFit="1" customWidth="1"/>
    <col min="7" max="7" width="15.28515625" style="3" customWidth="1"/>
    <col min="8" max="8" width="17.28515625" style="3" bestFit="1" customWidth="1"/>
    <col min="9" max="9" width="13.42578125" style="2" customWidth="1"/>
    <col min="10" max="10" width="106.7109375" style="2" customWidth="1"/>
    <col min="12" max="12" width="98.28515625" style="2" bestFit="1" customWidth="1"/>
  </cols>
  <sheetData>
    <row r="1" spans="1:12" ht="15" customHeight="1" thickBot="1" x14ac:dyDescent="0.3">
      <c r="A1" s="4">
        <f>MAX(A2:A999806)</f>
        <v>8</v>
      </c>
      <c r="B1" s="11"/>
      <c r="C1" s="7" t="s">
        <v>10</v>
      </c>
      <c r="G1" s="11"/>
      <c r="H1" s="12"/>
      <c r="I1" s="31"/>
      <c r="J1" s="13"/>
      <c r="K1" s="2"/>
      <c r="L1" s="18"/>
    </row>
    <row r="2" spans="1:12" s="30" customFormat="1" ht="33" customHeight="1" x14ac:dyDescent="0.25">
      <c r="A2" s="16" t="s">
        <v>13</v>
      </c>
      <c r="B2" s="16" t="s">
        <v>5</v>
      </c>
      <c r="C2" s="16" t="s">
        <v>6</v>
      </c>
      <c r="D2" s="20" t="s">
        <v>29</v>
      </c>
      <c r="E2" s="20" t="s">
        <v>25</v>
      </c>
      <c r="F2" s="20" t="s">
        <v>22</v>
      </c>
      <c r="G2" s="29" t="s">
        <v>27</v>
      </c>
      <c r="H2" s="29" t="s">
        <v>28</v>
      </c>
      <c r="I2" s="16" t="s">
        <v>26</v>
      </c>
      <c r="J2" s="16" t="s">
        <v>4</v>
      </c>
      <c r="K2" s="17" t="s">
        <v>11</v>
      </c>
      <c r="L2" s="19" t="s">
        <v>12</v>
      </c>
    </row>
    <row r="3" spans="1:12" ht="15" customHeight="1" x14ac:dyDescent="0.25">
      <c r="A3" s="5">
        <v>6</v>
      </c>
      <c r="B3" s="23" t="s">
        <v>2</v>
      </c>
      <c r="C3" s="5">
        <f>VLOOKUP(B3,Dominio!A:C,VLOOKUP($C$1,Dominio!F:G, 2,FALSE),FALSE)</f>
        <v>4</v>
      </c>
      <c r="D3" s="15"/>
      <c r="E3" s="28">
        <v>44843</v>
      </c>
      <c r="F3" s="15"/>
      <c r="G3" s="5" t="s">
        <v>30</v>
      </c>
      <c r="H3" s="6" t="s">
        <v>40</v>
      </c>
      <c r="I3" s="14"/>
      <c r="J3" s="14" t="s">
        <v>41</v>
      </c>
      <c r="K3" s="5"/>
      <c r="L3" s="36" t="s">
        <v>42</v>
      </c>
    </row>
    <row r="4" spans="1:12" ht="15" customHeight="1" x14ac:dyDescent="0.25">
      <c r="A4" s="23">
        <v>7</v>
      </c>
      <c r="B4" s="23" t="s">
        <v>2</v>
      </c>
      <c r="C4" s="23">
        <f>VLOOKUP(B4,Dominio!A:C,VLOOKUP($C$1,Dominio!F:G, 2,FALSE),FALSE)</f>
        <v>4</v>
      </c>
      <c r="D4" s="24"/>
      <c r="E4" s="28">
        <v>44843</v>
      </c>
      <c r="F4" s="24"/>
      <c r="G4" s="23" t="s">
        <v>44</v>
      </c>
      <c r="H4" s="25" t="s">
        <v>40</v>
      </c>
      <c r="I4" s="26"/>
      <c r="J4" s="26" t="s">
        <v>45</v>
      </c>
      <c r="K4" s="23"/>
      <c r="L4" s="32" t="s">
        <v>43</v>
      </c>
    </row>
    <row r="5" spans="1:12" ht="15" customHeight="1" x14ac:dyDescent="0.25">
      <c r="A5" s="23">
        <v>4</v>
      </c>
      <c r="B5" s="23" t="s">
        <v>0</v>
      </c>
      <c r="C5" s="23">
        <f>VLOOKUP(B5,Dominio!A:C,VLOOKUP($C$1,Dominio!F:G, 2,FALSE),FALSE)</f>
        <v>3</v>
      </c>
      <c r="D5" s="24"/>
      <c r="E5" s="15"/>
      <c r="F5" s="24"/>
      <c r="G5" s="23"/>
      <c r="H5" s="25"/>
      <c r="I5" s="26"/>
      <c r="J5" s="26" t="s">
        <v>37</v>
      </c>
      <c r="K5" s="23"/>
      <c r="L5" s="27"/>
    </row>
    <row r="6" spans="1:12" ht="15" customHeight="1" x14ac:dyDescent="0.25">
      <c r="A6" s="23">
        <v>5</v>
      </c>
      <c r="B6" s="23" t="s">
        <v>0</v>
      </c>
      <c r="C6" s="23">
        <f>VLOOKUP(B6,Dominio!A:C,VLOOKUP($C$1,Dominio!F:G, 2,FALSE),FALSE)</f>
        <v>3</v>
      </c>
      <c r="D6" s="24"/>
      <c r="E6" s="24"/>
      <c r="F6" s="24"/>
      <c r="G6" s="23"/>
      <c r="H6" s="25"/>
      <c r="I6" s="26"/>
      <c r="J6" s="26" t="s">
        <v>38</v>
      </c>
      <c r="K6" s="23"/>
      <c r="L6" s="32" t="s">
        <v>39</v>
      </c>
    </row>
    <row r="7" spans="1:12" ht="15" customHeight="1" x14ac:dyDescent="0.25">
      <c r="A7" s="23">
        <v>8</v>
      </c>
      <c r="B7" s="23" t="s">
        <v>0</v>
      </c>
      <c r="C7" s="34">
        <f>VLOOKUP(B7,Dominio!A:C,VLOOKUP($C$1,Dominio!F:G, 2,FALSE),FALSE)</f>
        <v>3</v>
      </c>
      <c r="D7" s="35"/>
      <c r="E7" s="35"/>
      <c r="F7" s="35"/>
      <c r="G7" s="23" t="s">
        <v>46</v>
      </c>
      <c r="H7" s="25" t="s">
        <v>40</v>
      </c>
      <c r="I7" s="26"/>
      <c r="J7" s="26" t="s">
        <v>47</v>
      </c>
      <c r="K7" s="23"/>
      <c r="L7" s="27" t="s">
        <v>48</v>
      </c>
    </row>
    <row r="8" spans="1:12" ht="15" customHeight="1" x14ac:dyDescent="0.25">
      <c r="A8" s="23">
        <v>1</v>
      </c>
      <c r="B8" s="23" t="s">
        <v>7</v>
      </c>
      <c r="C8" s="23">
        <f>VLOOKUP(B8,Dominio!A:C,VLOOKUP($C$1,Dominio!F:G, 2,FALSE),FALSE)</f>
        <v>2</v>
      </c>
      <c r="D8" s="24">
        <v>0</v>
      </c>
      <c r="E8" s="33"/>
      <c r="F8" s="24" t="s">
        <v>24</v>
      </c>
      <c r="G8" s="23" t="s">
        <v>30</v>
      </c>
      <c r="H8" s="25" t="s">
        <v>31</v>
      </c>
      <c r="I8" s="26"/>
      <c r="J8" s="26" t="s">
        <v>32</v>
      </c>
      <c r="K8" s="23"/>
      <c r="L8" s="27"/>
    </row>
    <row r="9" spans="1:12" ht="15" customHeight="1" x14ac:dyDescent="0.25">
      <c r="A9" s="23">
        <v>2</v>
      </c>
      <c r="B9" s="23" t="s">
        <v>7</v>
      </c>
      <c r="C9" s="23">
        <f>VLOOKUP(B9,Dominio!A:C,VLOOKUP($C$1,Dominio!F:G, 2,FALSE),FALSE)</f>
        <v>2</v>
      </c>
      <c r="D9" s="24">
        <v>0</v>
      </c>
      <c r="E9" s="33"/>
      <c r="F9" s="24" t="s">
        <v>24</v>
      </c>
      <c r="G9" s="23" t="s">
        <v>30</v>
      </c>
      <c r="H9" s="25" t="s">
        <v>34</v>
      </c>
      <c r="I9" s="26"/>
      <c r="J9" s="26" t="s">
        <v>33</v>
      </c>
      <c r="K9" s="23"/>
      <c r="L9" s="27"/>
    </row>
    <row r="10" spans="1:12" ht="15" customHeight="1" x14ac:dyDescent="0.25">
      <c r="A10" s="23">
        <v>3</v>
      </c>
      <c r="B10" s="23" t="s">
        <v>7</v>
      </c>
      <c r="C10" s="23">
        <f>VLOOKUP(B10,Dominio!A:C,VLOOKUP($C$1,Dominio!F:G, 2,FALSE),FALSE)</f>
        <v>2</v>
      </c>
      <c r="D10" s="24">
        <v>0</v>
      </c>
      <c r="E10" s="33"/>
      <c r="F10" s="24" t="s">
        <v>24</v>
      </c>
      <c r="G10" s="23" t="s">
        <v>30</v>
      </c>
      <c r="H10" s="25" t="s">
        <v>35</v>
      </c>
      <c r="I10" s="26"/>
      <c r="J10" s="26" t="s">
        <v>36</v>
      </c>
      <c r="K10" s="23"/>
      <c r="L10" s="27"/>
    </row>
  </sheetData>
  <sortState xmlns:xlrd2="http://schemas.microsoft.com/office/spreadsheetml/2017/richdata2" ref="A2:F3">
    <sortCondition ref="A2:A3"/>
  </sortState>
  <conditionalFormatting sqref="A3:L10">
    <cfRule type="expression" dxfId="19" priority="76">
      <formula>$B3="Cancelado"</formula>
    </cfRule>
    <cfRule type="expression" dxfId="18" priority="77">
      <formula>$B3="Concluído"</formula>
    </cfRule>
    <cfRule type="expression" dxfId="17" priority="78">
      <formula>$B3="Andamento"</formula>
    </cfRule>
    <cfRule type="expression" dxfId="16" priority="79">
      <formula>$B3="Previsto"</formula>
    </cfRule>
    <cfRule type="expression" dxfId="15" priority="80">
      <formula>$B3="Fazer"</formula>
    </cfRule>
  </conditionalFormatting>
  <hyperlinks>
    <hyperlink ref="L6" r:id="rId1" xr:uid="{C9F554D1-A561-4441-A626-8B47133568F3}"/>
    <hyperlink ref="L3" r:id="rId2" xr:uid="{671AD917-4BA8-420B-90CF-7DD0425F1AC9}"/>
    <hyperlink ref="L4" r:id="rId3" xr:uid="{841BDA5D-6729-43D4-A919-B4B484C598B4}"/>
  </hyperlinks>
  <pageMargins left="0.511811024" right="0.511811024" top="0.78740157499999996" bottom="0.78740157499999996" header="0.31496062000000002" footer="0.31496062000000002"/>
  <pageSetup paperSize="9" orientation="portrait" horizontalDpi="360" verticalDpi="360"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Dominio!$F$2:$F$3</xm:f>
          </x14:formula1>
          <xm:sqref>C1</xm:sqref>
        </x14:dataValidation>
        <x14:dataValidation type="list" allowBlank="1" showInputMessage="1" showErrorMessage="1" xr:uid="{00000000-0002-0000-0000-000001000000}">
          <x14:formula1>
            <xm:f>Dominio!$A$2:$A$6</xm:f>
          </x14:formula1>
          <xm:sqref>B3:B10</xm:sqref>
        </x14:dataValidation>
        <x14:dataValidation type="list" allowBlank="1" showInputMessage="1" showErrorMessage="1" xr:uid="{00000000-0002-0000-0000-000002000000}">
          <x14:formula1>
            <xm:f>Dominio!$I$2:$I$3</xm:f>
          </x14:formula1>
          <xm:sqref>G1</xm:sqref>
        </x14:dataValidation>
        <x14:dataValidation type="list" allowBlank="1" showInputMessage="1" showErrorMessage="1" xr:uid="{00000000-0002-0000-0000-000003000000}">
          <x14:formula1>
            <xm:f>Dominio!$K$2:$K$3</xm:f>
          </x14:formula1>
          <xm:sqref>F3:F10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1:K28"/>
  <sheetViews>
    <sheetView workbookViewId="0">
      <selection activeCell="C2" sqref="C2"/>
    </sheetView>
  </sheetViews>
  <sheetFormatPr defaultRowHeight="15" x14ac:dyDescent="0.25"/>
  <cols>
    <col min="1" max="1" width="14.140625" bestFit="1" customWidth="1"/>
    <col min="3" max="3" width="14.28515625" bestFit="1" customWidth="1"/>
    <col min="4" max="5" width="13.42578125" customWidth="1"/>
    <col min="6" max="6" width="13.42578125" style="3" customWidth="1"/>
    <col min="7" max="8" width="13.42578125" customWidth="1"/>
    <col min="9" max="9" width="23.5703125" customWidth="1"/>
    <col min="11" max="11" width="17.85546875" customWidth="1"/>
  </cols>
  <sheetData>
    <row r="1" spans="1:11" x14ac:dyDescent="0.25">
      <c r="A1" s="21" t="s">
        <v>5</v>
      </c>
      <c r="B1" s="22" t="s">
        <v>6</v>
      </c>
      <c r="C1" s="22" t="s">
        <v>8</v>
      </c>
      <c r="F1" s="21" t="s">
        <v>6</v>
      </c>
      <c r="G1" s="22" t="s">
        <v>9</v>
      </c>
      <c r="I1" s="22" t="s">
        <v>14</v>
      </c>
      <c r="K1" s="22" t="s">
        <v>22</v>
      </c>
    </row>
    <row r="2" spans="1:11" x14ac:dyDescent="0.25">
      <c r="A2" s="10" t="s">
        <v>0</v>
      </c>
      <c r="B2" s="10">
        <v>3</v>
      </c>
      <c r="C2" s="10">
        <v>1</v>
      </c>
      <c r="F2" s="8" t="s">
        <v>10</v>
      </c>
      <c r="G2" s="10">
        <v>2</v>
      </c>
      <c r="I2" s="9" t="s">
        <v>15</v>
      </c>
      <c r="K2" s="9" t="s">
        <v>24</v>
      </c>
    </row>
    <row r="3" spans="1:11" x14ac:dyDescent="0.25">
      <c r="A3" s="10" t="s">
        <v>7</v>
      </c>
      <c r="B3" s="10">
        <v>2</v>
      </c>
      <c r="C3" s="10">
        <v>2</v>
      </c>
      <c r="F3" s="8" t="s">
        <v>8</v>
      </c>
      <c r="G3" s="10">
        <v>3</v>
      </c>
      <c r="I3" s="9" t="s">
        <v>16</v>
      </c>
      <c r="K3" s="9" t="s">
        <v>23</v>
      </c>
    </row>
    <row r="4" spans="1:11" x14ac:dyDescent="0.25">
      <c r="A4" s="10" t="s">
        <v>1</v>
      </c>
      <c r="B4" s="10">
        <v>1</v>
      </c>
      <c r="C4" s="10">
        <v>3</v>
      </c>
      <c r="I4" s="9" t="s">
        <v>17</v>
      </c>
    </row>
    <row r="5" spans="1:11" x14ac:dyDescent="0.25">
      <c r="A5" s="10" t="s">
        <v>2</v>
      </c>
      <c r="B5" s="10">
        <v>4</v>
      </c>
      <c r="C5" s="10">
        <v>4</v>
      </c>
      <c r="I5" s="9" t="s">
        <v>18</v>
      </c>
    </row>
    <row r="6" spans="1:11" x14ac:dyDescent="0.25">
      <c r="A6" s="10" t="s">
        <v>3</v>
      </c>
      <c r="B6" s="10">
        <v>5</v>
      </c>
      <c r="C6" s="10">
        <v>5</v>
      </c>
      <c r="I6" s="9" t="s">
        <v>19</v>
      </c>
    </row>
    <row r="7" spans="1:11" x14ac:dyDescent="0.25">
      <c r="I7" s="9" t="s">
        <v>20</v>
      </c>
    </row>
    <row r="8" spans="1:11" x14ac:dyDescent="0.25">
      <c r="I8" s="9" t="s">
        <v>21</v>
      </c>
    </row>
    <row r="9" spans="1:11" x14ac:dyDescent="0.25">
      <c r="I9" s="1"/>
    </row>
    <row r="10" spans="1:11" x14ac:dyDescent="0.25">
      <c r="I10" s="1"/>
    </row>
    <row r="11" spans="1:11" x14ac:dyDescent="0.25">
      <c r="I11" s="1"/>
    </row>
    <row r="12" spans="1:11" x14ac:dyDescent="0.25">
      <c r="I12" s="1"/>
    </row>
    <row r="13" spans="1:11" x14ac:dyDescent="0.25">
      <c r="I13" s="1"/>
    </row>
    <row r="14" spans="1:11" x14ac:dyDescent="0.25">
      <c r="I14" s="1"/>
    </row>
    <row r="15" spans="1:11" x14ac:dyDescent="0.25">
      <c r="I15" s="1"/>
    </row>
    <row r="16" spans="1:11" x14ac:dyDescent="0.25">
      <c r="I16" s="1"/>
    </row>
    <row r="17" spans="9:9" x14ac:dyDescent="0.25">
      <c r="I17" s="1"/>
    </row>
    <row r="18" spans="9:9" x14ac:dyDescent="0.25">
      <c r="I18" s="1"/>
    </row>
    <row r="19" spans="9:9" x14ac:dyDescent="0.25">
      <c r="I19" s="1"/>
    </row>
    <row r="20" spans="9:9" x14ac:dyDescent="0.25">
      <c r="I20" s="1"/>
    </row>
    <row r="21" spans="9:9" x14ac:dyDescent="0.25">
      <c r="I21" s="1"/>
    </row>
    <row r="22" spans="9:9" x14ac:dyDescent="0.25">
      <c r="I22" s="1"/>
    </row>
    <row r="23" spans="9:9" x14ac:dyDescent="0.25">
      <c r="I23" s="1"/>
    </row>
    <row r="24" spans="9:9" x14ac:dyDescent="0.25">
      <c r="I24" s="1"/>
    </row>
    <row r="25" spans="9:9" x14ac:dyDescent="0.25">
      <c r="I25" s="1"/>
    </row>
    <row r="26" spans="9:9" x14ac:dyDescent="0.25">
      <c r="I26" s="1"/>
    </row>
    <row r="27" spans="9:9" x14ac:dyDescent="0.25">
      <c r="I27" s="1"/>
    </row>
    <row r="28" spans="9:9" x14ac:dyDescent="0.25">
      <c r="I28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Tarefas</vt:lpstr>
      <vt:lpstr>Dominio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2022-10-10T01:20:51Z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aplicarFiltro_1" visible="true" label="ReaplicarFiltro" imageMso="RecurrenceEdit" onAction="ReaplicarFiltro"/>
      </mso:documentControls>
    </mso:qat>
  </mso:ribbon>
</mso:customUI>
</file>